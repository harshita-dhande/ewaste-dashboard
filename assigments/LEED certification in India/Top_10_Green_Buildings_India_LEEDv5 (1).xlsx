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 Green Buildings" sheetId="1" state="visible" r:id="rId3"/>
    <sheet name="Notes &amp; Methodology"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Max points per LEED v5 BD+C: New Construction, from the Possible Points table in LEED v5 Reference Guide for Building Design and Construction, July 2026 Edition (USGBC). Category totals: IP 1, LT 15, SS 11, WE 9, EA 33, MR 18, EQ 13, PR 10 = 110 total.</t>
        </r>
      </text>
    </comment>
  </commentList>
</comments>
</file>

<file path=xl/sharedStrings.xml><?xml version="1.0" encoding="utf-8"?>
<sst xmlns="http://schemas.openxmlformats.org/spreadsheetml/2006/main" count="79" uniqueCount="76">
  <si>
    <t xml:space="preserve">Top 10 Famous Green Buildings in India — Scored on LEED v5 BD+C Framework</t>
  </si>
  <si>
    <t xml:space="preserve">Category point allocations use the LEED v5 BD+C: New Construction possible-points table (LEED v5 Reference Guide for BD+C, July 2026 Edition, USGBC). Per-building category scores are illustrative estimates (see Notes sheet) since these projects were actually certified under earlier LEED versions (v2/v2009/v3/v4/v4.1), which used different credit structures.</t>
  </si>
  <si>
    <t xml:space="preserve">Rank</t>
  </si>
  <si>
    <t xml:space="preserve">Building Name</t>
  </si>
  <si>
    <t xml:space="preserve">City / State</t>
  </si>
  <si>
    <t xml:space="preserve">Year
Certified</t>
  </si>
  <si>
    <t xml:space="preserve">Actual Historical
LEED Rating</t>
  </si>
  <si>
    <t xml:space="preserve">IP
Integrative
Process</t>
  </si>
  <si>
    <t xml:space="preserve">LT
Location &amp;
Transportation</t>
  </si>
  <si>
    <t xml:space="preserve">SS
Sustainable
Sites</t>
  </si>
  <si>
    <t xml:space="preserve">WE
Water
Efficiency</t>
  </si>
  <si>
    <t xml:space="preserve">EA
Energy &amp;
Atmosphere</t>
  </si>
  <si>
    <t xml:space="preserve">MR
Materials &amp;
Resources</t>
  </si>
  <si>
    <t xml:space="preserve">EQ
Indoor Env.
Quality</t>
  </si>
  <si>
    <t xml:space="preserve">PR
Project
Priorities</t>
  </si>
  <si>
    <t xml:space="preserve">Total
Score (/110)</t>
  </si>
  <si>
    <t xml:space="preserve">LEED v5
Certification Level</t>
  </si>
  <si>
    <t xml:space="preserve">Key Green Design Features</t>
  </si>
  <si>
    <t xml:space="preserve">max 1</t>
  </si>
  <si>
    <t xml:space="preserve">max 15</t>
  </si>
  <si>
    <t xml:space="preserve">max 11</t>
  </si>
  <si>
    <t xml:space="preserve">max 9</t>
  </si>
  <si>
    <t xml:space="preserve">max 33</t>
  </si>
  <si>
    <t xml:space="preserve">max 18</t>
  </si>
  <si>
    <t xml:space="preserve">max 13</t>
  </si>
  <si>
    <t xml:space="preserve">max 10</t>
  </si>
  <si>
    <t xml:space="preserve">CII–Sohrabji Godrej Green Business Centre</t>
  </si>
  <si>
    <t xml:space="preserve">Hyderabad, Telangana</t>
  </si>
  <si>
    <t xml:space="preserve">LEED Platinum (first outside the USA, and first in India)</t>
  </si>
  <si>
    <t xml:space="preserve">Circular design around rock outcrops; wind towers for passive ventilation; 55–60% green roof; on-site solar PV; rainwater harvesting; zero-discharge water system.</t>
  </si>
  <si>
    <t xml:space="preserve">ITC Green Centre</t>
  </si>
  <si>
    <t xml:space="preserve">Gurugram, Haryana</t>
  </si>
  <si>
    <t xml:space="preserve">LEED Platinum (first corporate building in India to achieve Platinum)</t>
  </si>
  <si>
    <t xml:space="preserve">V-shaped form to cut heat gain; fly-ash concrete and high-recycled-content glass façade; stormwater harvesting; zero-discharge water facility.</t>
  </si>
  <si>
    <t xml:space="preserve">Suzlon One Earth</t>
  </si>
  <si>
    <t xml:space="preserve">Pune, Maharashtra</t>
  </si>
  <si>
    <t xml:space="preserve">LEED Platinum; also GRIHA 5-Star (net-zero energy campus)</t>
  </si>
  <si>
    <t xml:space="preserve">Net-zero energy campus; ~92% of energy from on-site/off-site renewables incl. 18 hybrid wind turbines; 90% of floor area receives natural daylight.</t>
  </si>
  <si>
    <t xml:space="preserve">ITC Maurya</t>
  </si>
  <si>
    <t xml:space="preserve">New Delhi</t>
  </si>
  <si>
    <t xml:space="preserve">LEED Platinum (one of the world's first Platinum-rated hotels)</t>
  </si>
  <si>
    <t xml:space="preserve">Recycles over 90% of solid waste; low-VOC paints throughout; extensive energy-efficient HVAC and lighting retrofit.</t>
  </si>
  <si>
    <t xml:space="preserve">ITC Grand Chola</t>
  </si>
  <si>
    <t xml:space="preserve">Chennai, Tamil Nadu</t>
  </si>
  <si>
    <t xml:space="preserve">LEED Platinum (New Construction)</t>
  </si>
  <si>
    <t xml:space="preserve">Carbon-positive, water-positive, and waste-recycling-positive operations; on-site sewage treatment reused for horticulture and cooling; green roofs and stormwater catchment.</t>
  </si>
  <si>
    <t xml:space="preserve">Wipro Technologies Campus</t>
  </si>
  <si>
    <t xml:space="preserve">LEED Platinum</t>
  </si>
  <si>
    <t xml:space="preserve">High-performance glazing and daylighting; efficient chilled-water plant; extensive native landscaping to cut irrigation demand.</t>
  </si>
  <si>
    <t xml:space="preserve">Infinity Benchmark</t>
  </si>
  <si>
    <t xml:space="preserve">Kolkata, West Bengal</t>
  </si>
  <si>
    <t xml:space="preserve">LEED Platinum (Kolkata's first Platinum-rated building)</t>
  </si>
  <si>
    <t xml:space="preserve">20-storey, 560,000 sq. ft. commercial tower; optimized building envelope; energy-efficient services; innovative water-reuse systems.</t>
  </si>
  <si>
    <t xml:space="preserve">The Connaught by IHCL SeleQtions</t>
  </si>
  <si>
    <t xml:space="preserve">LEED Gold under LEED v4.1 BD+C — 67 actual points</t>
  </si>
  <si>
    <t xml:space="preserve">Heritage retrofit with modern energy management systems; water-efficient fixtures; enhanced indoor air quality measures; the only building on this list with a publicly documented point score, shown here for reference.</t>
  </si>
  <si>
    <t xml:space="preserve">Ela Green School</t>
  </si>
  <si>
    <t xml:space="preserve">Auroville, Tamil Nadu</t>
  </si>
  <si>
    <t xml:space="preserve">LEED Platinum (first school in the world to achieve Platinum)</t>
  </si>
  <si>
    <t xml:space="preserve">Passive cooling and daylighting for classrooms; rainwater harvesting; locally sourced, low-embodied-carbon materials; organic campus landscaping.</t>
  </si>
  <si>
    <t xml:space="preserve">Infosys Campus (Pocharam)</t>
  </si>
  <si>
    <t xml:space="preserve">LEED Platinum (part of Infosys' large Platinum-certified portfolio)</t>
  </si>
  <si>
    <t xml:space="preserve">Radiant cooling systems; high-albedo roofing to cut heat-island effect; extensive rainwater harvesting and treated-water reuse; large rooftop solar array.</t>
  </si>
  <si>
    <t xml:space="preserve">Notes &amp; Methodology</t>
  </si>
  <si>
    <t xml:space="preserve">Rating framework used</t>
  </si>
  <si>
    <t xml:space="preserve">LEED v5 BD+C: New Construction credit categories and possible-points table, as published in the LEED v5 Reference Guide for Building Design and Construction, July 2026 Edition (USGBC). Total possible points = 110 (IP 1, LT 15, SS 11, WE 9, EA 33, MR 18, EQ 13, PR 10).</t>
  </si>
  <si>
    <t xml:space="preserve">Certification thresholds</t>
  </si>
  <si>
    <t xml:space="preserve">Certified: 40–49 points | Silver: 50–59 points | Gold: 60–79 points | Platinum: 80–110 points. These thresholds are the standard USGBC/LEED certification tiers, carried forward into LEED v5.</t>
  </si>
  <si>
    <t xml:space="preserve">Why scores are estimates</t>
  </si>
  <si>
    <t xml:space="preserve">None of these 10 landmark Indian buildings were actually certified under LEED v5 (most were certified between 2003 and 2021, under LEED v2, v2009/v3, v4, or v4.1 — each with a different credit structure and point scale). Their per-category scores in this workbook are Claude's illustrative estimates, built by (a) taking the building's real, publicly reported certification tier (e.g. Platinum) or, where available, its actual score (The Connaught: 67 points, LEED v4.1 Gold — the only building on this list with a published point total), and (b) distributing points across the eight LEED v5 categories in proportion to each category's v5 weight and the sustainability features each building is publicly known for (renewable energy, water reuse, materials, indoor air quality, etc.).</t>
  </si>
  <si>
    <t xml:space="preserve">What this sheet is / is not</t>
  </si>
  <si>
    <t xml:space="preserve">This is a comparative teaching/illustration tool showing how well-known Indian green buildings might map onto the LEED v5 BD+C scoring structure — NOT an official LEED v5 score, and not issued or endorsed by USGBC or GBCI. Only USGBC/GBCI's official review can award a real LEED v5 rating.</t>
  </si>
  <si>
    <t xml:space="preserve">Sources for building facts</t>
  </si>
  <si>
    <t xml:space="preserve">Public building profiles and press coverage, incl. USGBC/GBCI project pages, IGBC materials, and building-sustainability roundups (IIFL, Rethinking The Future, The Design Gesture, GBCI 'India Ranks No. 3' release, Feb 2022). Year shown is the approximate year of the building's highest/most recent public LEED milestone.</t>
  </si>
  <si>
    <t xml:space="preserve">How to update this sheet</t>
  </si>
  <si>
    <t xml:space="preserve">Edit only the blue category-score cells (columns F–M) on the 'Top 10 Green Buildings' tab. Total Score and Certification Level recalculate automatically via formula.</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</si>
</sst>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1B5E20"/>
      <name val="Arial"/>
      <family val="0"/>
      <charset val="1"/>
    </font>
    <font>
      <b val="true"/>
      <sz val="10"/>
      <color rgb="FFFFFFFF"/>
      <name val="Arial"/>
      <family val="0"/>
      <charset val="1"/>
    </font>
    <font>
      <i val="true"/>
      <sz val="9"/>
      <color rgb="FFFFFFFF"/>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6100"/>
      <name val="Arial"/>
      <family val="0"/>
      <charset val="1"/>
    </font>
    <font>
      <sz val="10"/>
      <name val="Arial"/>
      <family val="2"/>
    </font>
  </fonts>
  <fills count="6">
    <fill>
      <patternFill patternType="none"/>
    </fill>
    <fill>
      <patternFill patternType="gray125"/>
    </fill>
    <fill>
      <patternFill patternType="solid">
        <fgColor rgb="FF1B5E20"/>
        <bgColor rgb="FF006100"/>
      </patternFill>
    </fill>
    <fill>
      <patternFill patternType="solid">
        <fgColor rgb="FF2E7D32"/>
        <bgColor rgb="FF558B2F"/>
      </patternFill>
    </fill>
    <fill>
      <patternFill patternType="solid">
        <fgColor rgb="FF558B2F"/>
        <bgColor rgb="FF2E7D32"/>
      </patternFill>
    </fill>
    <fill>
      <patternFill patternType="solid">
        <fgColor rgb="FFE8F5E9"/>
        <bgColor rgb="FFFFFFFF"/>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558B2F"/>
      <rgbColor rgb="FF800080"/>
      <rgbColor rgb="FF008080"/>
      <rgbColor rgb="FFBDBDBD"/>
      <rgbColor rgb="FF808080"/>
      <rgbColor rgb="FF9999FF"/>
      <rgbColor rgb="FF993366"/>
      <rgbColor rgb="FFE8F5E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1B5E20"/>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F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5" min="5" style="0" width="34"/>
    <col collapsed="false" customWidth="true" hidden="false" outlineLevel="0" max="13" min="6" style="0" width="9"/>
    <col collapsed="false" customWidth="true" hidden="false" outlineLevel="0" max="14" min="14" style="0" width="10"/>
    <col collapsed="false" customWidth="true" hidden="false" outlineLevel="0" max="15" min="15" style="0" width="14"/>
    <col collapsed="false" customWidth="true" hidden="false" outlineLevel="0" max="16" min="16" style="0" width="46"/>
  </cols>
  <sheetData>
    <row r="1" customFormat="false" ht="27.75" hidden="false" customHeight="true" outlineLevel="0" collapsed="false">
      <c r="A1" s="1" t="s">
        <v>0</v>
      </c>
      <c r="B1" s="1"/>
      <c r="C1" s="1"/>
      <c r="D1" s="1"/>
      <c r="E1" s="1"/>
      <c r="F1" s="1"/>
      <c r="G1" s="1"/>
      <c r="H1" s="1"/>
      <c r="I1" s="1"/>
      <c r="J1" s="1"/>
      <c r="K1" s="1"/>
      <c r="L1" s="1"/>
      <c r="M1" s="1"/>
      <c r="N1" s="1"/>
      <c r="O1" s="1"/>
      <c r="P1" s="1"/>
      <c r="Q1" s="1"/>
    </row>
    <row r="2" customFormat="false" ht="30" hidden="false" customHeight="true" outlineLevel="0" collapsed="false">
      <c r="A2" s="2" t="s">
        <v>1</v>
      </c>
      <c r="B2" s="2"/>
      <c r="C2" s="2"/>
      <c r="D2" s="2"/>
      <c r="E2" s="2"/>
      <c r="F2" s="2"/>
      <c r="G2" s="2"/>
      <c r="H2" s="2"/>
      <c r="I2" s="2"/>
      <c r="J2" s="2"/>
      <c r="K2" s="2"/>
      <c r="L2" s="2"/>
      <c r="M2" s="2"/>
      <c r="N2" s="2"/>
      <c r="O2" s="2"/>
      <c r="P2" s="2"/>
      <c r="Q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13.5" hidden="false" customHeight="true" outlineLevel="0" collapsed="false">
      <c r="A5" s="3"/>
      <c r="B5" s="3"/>
      <c r="C5" s="3"/>
      <c r="D5" s="3"/>
      <c r="E5" s="3"/>
      <c r="F5" s="4" t="s">
        <v>18</v>
      </c>
      <c r="G5" s="4" t="s">
        <v>19</v>
      </c>
      <c r="H5" s="4" t="s">
        <v>20</v>
      </c>
      <c r="I5" s="4" t="s">
        <v>21</v>
      </c>
      <c r="J5" s="4" t="s">
        <v>22</v>
      </c>
      <c r="K5" s="4" t="s">
        <v>23</v>
      </c>
      <c r="L5" s="4" t="s">
        <v>24</v>
      </c>
      <c r="M5" s="4" t="s">
        <v>25</v>
      </c>
      <c r="N5" s="3"/>
      <c r="O5" s="3"/>
      <c r="P5" s="3"/>
    </row>
    <row r="6" customFormat="false" ht="60" hidden="false" customHeight="true" outlineLevel="0" collapsed="false">
      <c r="A6" s="5" t="n">
        <v>1</v>
      </c>
      <c r="B6" s="6" t="s">
        <v>26</v>
      </c>
      <c r="C6" s="5" t="s">
        <v>27</v>
      </c>
      <c r="D6" s="5" t="n">
        <v>2003</v>
      </c>
      <c r="E6" s="5" t="s">
        <v>28</v>
      </c>
      <c r="F6" s="7" t="n">
        <v>1</v>
      </c>
      <c r="G6" s="7" t="n">
        <v>12</v>
      </c>
      <c r="H6" s="7" t="n">
        <v>9</v>
      </c>
      <c r="I6" s="7" t="n">
        <v>7</v>
      </c>
      <c r="J6" s="7" t="n">
        <v>26</v>
      </c>
      <c r="K6" s="7" t="n">
        <v>14</v>
      </c>
      <c r="L6" s="7" t="n">
        <v>10</v>
      </c>
      <c r="M6" s="7" t="n">
        <v>8</v>
      </c>
      <c r="N6" s="8" t="n">
        <f aca="false">SUM(F6:M6)</f>
        <v>87</v>
      </c>
      <c r="O6" s="9" t="str">
        <f aca="false">IF(N6&gt;=80,"Platinum",IF(N6&gt;=60,"Gold",IF(N6&gt;=50,"Silver",IF(N6&gt;=40,"Certified","Not Certified"))))</f>
        <v>Platinum</v>
      </c>
      <c r="P6" s="10" t="s">
        <v>29</v>
      </c>
    </row>
    <row r="7" customFormat="false" ht="60" hidden="false" customHeight="true" outlineLevel="0" collapsed="false">
      <c r="A7" s="11" t="n">
        <v>2</v>
      </c>
      <c r="B7" s="12" t="s">
        <v>30</v>
      </c>
      <c r="C7" s="11" t="s">
        <v>31</v>
      </c>
      <c r="D7" s="11" t="n">
        <v>2004</v>
      </c>
      <c r="E7" s="11" t="s">
        <v>32</v>
      </c>
      <c r="F7" s="13" t="n">
        <v>1</v>
      </c>
      <c r="G7" s="13" t="n">
        <v>11</v>
      </c>
      <c r="H7" s="13" t="n">
        <v>8</v>
      </c>
      <c r="I7" s="13" t="n">
        <v>7</v>
      </c>
      <c r="J7" s="13" t="n">
        <v>25</v>
      </c>
      <c r="K7" s="13" t="n">
        <v>13</v>
      </c>
      <c r="L7" s="13" t="n">
        <v>11</v>
      </c>
      <c r="M7" s="13" t="n">
        <v>9</v>
      </c>
      <c r="N7" s="14" t="n">
        <f aca="false">SUM(F7:M7)</f>
        <v>85</v>
      </c>
      <c r="O7" s="15" t="str">
        <f aca="false">IF(N7&gt;=80,"Platinum",IF(N7&gt;=60,"Gold",IF(N7&gt;=50,"Silver",IF(N7&gt;=40,"Certified","Not Certified"))))</f>
        <v>Platinum</v>
      </c>
      <c r="P7" s="16" t="s">
        <v>33</v>
      </c>
    </row>
    <row r="8" customFormat="false" ht="60" hidden="false" customHeight="true" outlineLevel="0" collapsed="false">
      <c r="A8" s="5" t="n">
        <v>3</v>
      </c>
      <c r="B8" s="6" t="s">
        <v>34</v>
      </c>
      <c r="C8" s="5" t="s">
        <v>35</v>
      </c>
      <c r="D8" s="5" t="n">
        <v>2010</v>
      </c>
      <c r="E8" s="5" t="s">
        <v>36</v>
      </c>
      <c r="F8" s="7" t="n">
        <v>1</v>
      </c>
      <c r="G8" s="7" t="n">
        <v>13</v>
      </c>
      <c r="H8" s="7" t="n">
        <v>9</v>
      </c>
      <c r="I8" s="7" t="n">
        <v>7</v>
      </c>
      <c r="J8" s="7" t="n">
        <v>29</v>
      </c>
      <c r="K8" s="7" t="n">
        <v>13</v>
      </c>
      <c r="L8" s="7" t="n">
        <v>10</v>
      </c>
      <c r="M8" s="7" t="n">
        <v>8</v>
      </c>
      <c r="N8" s="8" t="n">
        <f aca="false">SUM(F8:M8)</f>
        <v>90</v>
      </c>
      <c r="O8" s="9" t="str">
        <f aca="false">IF(N8&gt;=80,"Platinum",IF(N8&gt;=60,"Gold",IF(N8&gt;=50,"Silver",IF(N8&gt;=40,"Certified","Not Certified"))))</f>
        <v>Platinum</v>
      </c>
      <c r="P8" s="10" t="s">
        <v>37</v>
      </c>
    </row>
    <row r="9" customFormat="false" ht="60" hidden="false" customHeight="true" outlineLevel="0" collapsed="false">
      <c r="A9" s="11" t="n">
        <v>4</v>
      </c>
      <c r="B9" s="12" t="s">
        <v>38</v>
      </c>
      <c r="C9" s="11" t="s">
        <v>39</v>
      </c>
      <c r="D9" s="11" t="n">
        <v>2011</v>
      </c>
      <c r="E9" s="11" t="s">
        <v>40</v>
      </c>
      <c r="F9" s="13" t="n">
        <v>1</v>
      </c>
      <c r="G9" s="13" t="n">
        <v>10</v>
      </c>
      <c r="H9" s="13" t="n">
        <v>7</v>
      </c>
      <c r="I9" s="13" t="n">
        <v>6</v>
      </c>
      <c r="J9" s="13" t="n">
        <v>24</v>
      </c>
      <c r="K9" s="13" t="n">
        <v>12</v>
      </c>
      <c r="L9" s="13" t="n">
        <v>11</v>
      </c>
      <c r="M9" s="13" t="n">
        <v>9</v>
      </c>
      <c r="N9" s="14" t="n">
        <f aca="false">SUM(F9:M9)</f>
        <v>80</v>
      </c>
      <c r="O9" s="15" t="str">
        <f aca="false">IF(N9&gt;=80,"Platinum",IF(N9&gt;=60,"Gold",IF(N9&gt;=50,"Silver",IF(N9&gt;=40,"Certified","Not Certified"))))</f>
        <v>Platinum</v>
      </c>
      <c r="P9" s="16" t="s">
        <v>41</v>
      </c>
    </row>
    <row r="10" customFormat="false" ht="60" hidden="false" customHeight="true" outlineLevel="0" collapsed="false">
      <c r="A10" s="5" t="n">
        <v>5</v>
      </c>
      <c r="B10" s="6" t="s">
        <v>42</v>
      </c>
      <c r="C10" s="5" t="s">
        <v>43</v>
      </c>
      <c r="D10" s="5" t="n">
        <v>2012</v>
      </c>
      <c r="E10" s="5" t="s">
        <v>44</v>
      </c>
      <c r="F10" s="7" t="n">
        <v>1</v>
      </c>
      <c r="G10" s="7" t="n">
        <v>10</v>
      </c>
      <c r="H10" s="7" t="n">
        <v>8</v>
      </c>
      <c r="I10" s="7" t="n">
        <v>8</v>
      </c>
      <c r="J10" s="7" t="n">
        <v>24</v>
      </c>
      <c r="K10" s="7" t="n">
        <v>13</v>
      </c>
      <c r="L10" s="7" t="n">
        <v>11</v>
      </c>
      <c r="M10" s="7" t="n">
        <v>9</v>
      </c>
      <c r="N10" s="8" t="n">
        <f aca="false">SUM(F10:M10)</f>
        <v>84</v>
      </c>
      <c r="O10" s="9" t="str">
        <f aca="false">IF(N10&gt;=80,"Platinum",IF(N10&gt;=60,"Gold",IF(N10&gt;=50,"Silver",IF(N10&gt;=40,"Certified","Not Certified"))))</f>
        <v>Platinum</v>
      </c>
      <c r="P10" s="10" t="s">
        <v>45</v>
      </c>
    </row>
    <row r="11" customFormat="false" ht="60" hidden="false" customHeight="true" outlineLevel="0" collapsed="false">
      <c r="A11" s="11" t="n">
        <v>6</v>
      </c>
      <c r="B11" s="12" t="s">
        <v>46</v>
      </c>
      <c r="C11" s="11" t="s">
        <v>31</v>
      </c>
      <c r="D11" s="11" t="n">
        <v>2009</v>
      </c>
      <c r="E11" s="11" t="s">
        <v>47</v>
      </c>
      <c r="F11" s="13" t="n">
        <v>1</v>
      </c>
      <c r="G11" s="13" t="n">
        <v>10</v>
      </c>
      <c r="H11" s="13" t="n">
        <v>8</v>
      </c>
      <c r="I11" s="13" t="n">
        <v>7</v>
      </c>
      <c r="J11" s="13" t="n">
        <v>23</v>
      </c>
      <c r="K11" s="13" t="n">
        <v>13</v>
      </c>
      <c r="L11" s="13" t="n">
        <v>10</v>
      </c>
      <c r="M11" s="13" t="n">
        <v>8</v>
      </c>
      <c r="N11" s="14" t="n">
        <f aca="false">SUM(F11:M11)</f>
        <v>80</v>
      </c>
      <c r="O11" s="15" t="str">
        <f aca="false">IF(N11&gt;=80,"Platinum",IF(N11&gt;=60,"Gold",IF(N11&gt;=50,"Silver",IF(N11&gt;=40,"Certified","Not Certified"))))</f>
        <v>Platinum</v>
      </c>
      <c r="P11" s="16" t="s">
        <v>48</v>
      </c>
    </row>
    <row r="12" customFormat="false" ht="60" hidden="false" customHeight="true" outlineLevel="0" collapsed="false">
      <c r="A12" s="5" t="n">
        <v>7</v>
      </c>
      <c r="B12" s="6" t="s">
        <v>49</v>
      </c>
      <c r="C12" s="5" t="s">
        <v>50</v>
      </c>
      <c r="D12" s="5" t="n">
        <v>2011</v>
      </c>
      <c r="E12" s="5" t="s">
        <v>51</v>
      </c>
      <c r="F12" s="7" t="n">
        <v>1</v>
      </c>
      <c r="G12" s="7" t="n">
        <v>10</v>
      </c>
      <c r="H12" s="7" t="n">
        <v>8</v>
      </c>
      <c r="I12" s="7" t="n">
        <v>6</v>
      </c>
      <c r="J12" s="7" t="n">
        <v>23</v>
      </c>
      <c r="K12" s="7" t="n">
        <v>13</v>
      </c>
      <c r="L12" s="7" t="n">
        <v>11</v>
      </c>
      <c r="M12" s="7" t="n">
        <v>9</v>
      </c>
      <c r="N12" s="8" t="n">
        <f aca="false">SUM(F12:M12)</f>
        <v>81</v>
      </c>
      <c r="O12" s="9" t="str">
        <f aca="false">IF(N12&gt;=80,"Platinum",IF(N12&gt;=60,"Gold",IF(N12&gt;=50,"Silver",IF(N12&gt;=40,"Certified","Not Certified"))))</f>
        <v>Platinum</v>
      </c>
      <c r="P12" s="10" t="s">
        <v>52</v>
      </c>
    </row>
    <row r="13" customFormat="false" ht="60" hidden="false" customHeight="true" outlineLevel="0" collapsed="false">
      <c r="A13" s="11" t="n">
        <v>8</v>
      </c>
      <c r="B13" s="12" t="s">
        <v>53</v>
      </c>
      <c r="C13" s="11" t="s">
        <v>39</v>
      </c>
      <c r="D13" s="11" t="n">
        <v>2021</v>
      </c>
      <c r="E13" s="11" t="s">
        <v>54</v>
      </c>
      <c r="F13" s="13" t="n">
        <v>1</v>
      </c>
      <c r="G13" s="13" t="n">
        <v>9</v>
      </c>
      <c r="H13" s="13" t="n">
        <v>7</v>
      </c>
      <c r="I13" s="13" t="n">
        <v>5</v>
      </c>
      <c r="J13" s="13" t="n">
        <v>19</v>
      </c>
      <c r="K13" s="13" t="n">
        <v>11</v>
      </c>
      <c r="L13" s="13" t="n">
        <v>9</v>
      </c>
      <c r="M13" s="13" t="n">
        <v>6</v>
      </c>
      <c r="N13" s="14" t="n">
        <f aca="false">SUM(F13:M13)</f>
        <v>67</v>
      </c>
      <c r="O13" s="15" t="str">
        <f aca="false">IF(N13&gt;=80,"Platinum",IF(N13&gt;=60,"Gold",IF(N13&gt;=50,"Silver",IF(N13&gt;=40,"Certified","Not Certified"))))</f>
        <v>Gold</v>
      </c>
      <c r="P13" s="16" t="s">
        <v>55</v>
      </c>
    </row>
    <row r="14" customFormat="false" ht="60" hidden="false" customHeight="true" outlineLevel="0" collapsed="false">
      <c r="A14" s="5" t="n">
        <v>9</v>
      </c>
      <c r="B14" s="6" t="s">
        <v>56</v>
      </c>
      <c r="C14" s="5" t="s">
        <v>57</v>
      </c>
      <c r="D14" s="5" t="n">
        <v>2021</v>
      </c>
      <c r="E14" s="5" t="s">
        <v>58</v>
      </c>
      <c r="F14" s="7" t="n">
        <v>1</v>
      </c>
      <c r="G14" s="7" t="n">
        <v>11</v>
      </c>
      <c r="H14" s="7" t="n">
        <v>9</v>
      </c>
      <c r="I14" s="7" t="n">
        <v>7</v>
      </c>
      <c r="J14" s="7" t="n">
        <v>26</v>
      </c>
      <c r="K14" s="7" t="n">
        <v>13</v>
      </c>
      <c r="L14" s="7" t="n">
        <v>11</v>
      </c>
      <c r="M14" s="7" t="n">
        <v>8</v>
      </c>
      <c r="N14" s="8" t="n">
        <f aca="false">SUM(F14:M14)</f>
        <v>86</v>
      </c>
      <c r="O14" s="9" t="str">
        <f aca="false">IF(N14&gt;=80,"Platinum",IF(N14&gt;=60,"Gold",IF(N14&gt;=50,"Silver",IF(N14&gt;=40,"Certified","Not Certified"))))</f>
        <v>Platinum</v>
      </c>
      <c r="P14" s="10" t="s">
        <v>59</v>
      </c>
    </row>
    <row r="15" customFormat="false" ht="60" hidden="false" customHeight="true" outlineLevel="0" collapsed="false">
      <c r="A15" s="11" t="n">
        <v>10</v>
      </c>
      <c r="B15" s="12" t="s">
        <v>60</v>
      </c>
      <c r="C15" s="11" t="s">
        <v>27</v>
      </c>
      <c r="D15" s="11" t="n">
        <v>2013</v>
      </c>
      <c r="E15" s="11" t="s">
        <v>61</v>
      </c>
      <c r="F15" s="13" t="n">
        <v>1</v>
      </c>
      <c r="G15" s="13" t="n">
        <v>10</v>
      </c>
      <c r="H15" s="13" t="n">
        <v>8</v>
      </c>
      <c r="I15" s="13" t="n">
        <v>7</v>
      </c>
      <c r="J15" s="13" t="n">
        <v>24</v>
      </c>
      <c r="K15" s="13" t="n">
        <v>13</v>
      </c>
      <c r="L15" s="13" t="n">
        <v>11</v>
      </c>
      <c r="M15" s="13" t="n">
        <v>9</v>
      </c>
      <c r="N15" s="14" t="n">
        <f aca="false">SUM(F15:M15)</f>
        <v>83</v>
      </c>
      <c r="O15" s="15" t="str">
        <f aca="false">IF(N15&gt;=80,"Platinum",IF(N15&gt;=60,"Gold",IF(N15&gt;=50,"Silver",IF(N15&gt;=40,"Certified","Not Certified"))))</f>
        <v>Platinum</v>
      </c>
      <c r="P15" s="16" t="s">
        <v>62</v>
      </c>
    </row>
  </sheetData>
  <mergeCells count="10">
    <mergeCell ref="A1:Q1"/>
    <mergeCell ref="A2:Q2"/>
    <mergeCell ref="A4:A5"/>
    <mergeCell ref="B4:B5"/>
    <mergeCell ref="C4:C5"/>
    <mergeCell ref="D4:D5"/>
    <mergeCell ref="E4:E5"/>
    <mergeCell ref="N4:N5"/>
    <mergeCell ref="O4:O5"/>
    <mergeCell ref="P4:P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25.5" hidden="false" customHeight="true" outlineLevel="0" collapsed="false">
      <c r="A1" s="17" t="s">
        <v>63</v>
      </c>
      <c r="B1" s="17"/>
    </row>
    <row r="3" customFormat="false" ht="90" hidden="false" customHeight="true" outlineLevel="0" collapsed="false">
      <c r="A3" s="18" t="s">
        <v>64</v>
      </c>
      <c r="B3" s="19" t="s">
        <v>65</v>
      </c>
    </row>
    <row r="5" customFormat="false" ht="90" hidden="false" customHeight="true" outlineLevel="0" collapsed="false">
      <c r="A5" s="18" t="s">
        <v>66</v>
      </c>
      <c r="B5" s="19" t="s">
        <v>67</v>
      </c>
    </row>
    <row r="7" customFormat="false" ht="90" hidden="false" customHeight="true" outlineLevel="0" collapsed="false">
      <c r="A7" s="18" t="s">
        <v>68</v>
      </c>
      <c r="B7" s="19" t="s">
        <v>69</v>
      </c>
    </row>
    <row r="9" customFormat="false" ht="90" hidden="false" customHeight="true" outlineLevel="0" collapsed="false">
      <c r="A9" s="18" t="s">
        <v>70</v>
      </c>
      <c r="B9" s="19" t="s">
        <v>71</v>
      </c>
    </row>
    <row r="11" customFormat="false" ht="90" hidden="false" customHeight="true" outlineLevel="0" collapsed="false">
      <c r="A11" s="18" t="s">
        <v>72</v>
      </c>
      <c r="B11" s="19" t="s">
        <v>73</v>
      </c>
    </row>
    <row r="13" customFormat="false" ht="90" hidden="false" customHeight="true" outlineLevel="0" collapsed="false">
      <c r="A13" s="18" t="s">
        <v>74</v>
      </c>
      <c r="B13" s="19" t="s">
        <v>75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7A232B3FA31C48ADAF29702DE3C893" ma:contentTypeVersion="12" ma:contentTypeDescription="Create a new document." ma:contentTypeScope="" ma:versionID="9733aeacb51a31fd2347aff2540d3a50">
  <xsd:schema xmlns:xsd="http://www.w3.org/2001/XMLSchema" xmlns:xs="http://www.w3.org/2001/XMLSchema" xmlns:p="http://schemas.microsoft.com/office/2006/metadata/properties" xmlns:ns2="dd5b6b3d-3d39-4526-b8e4-79d21e1438f0" xmlns:ns3="44678d20-5b6e-4792-b133-ca784477d689" targetNamespace="http://schemas.microsoft.com/office/2006/metadata/properties" ma:root="true" ma:fieldsID="37926f2f1ae8b3f68e3dbd3dffff8aa9" ns2:_="" ns3:_="">
    <xsd:import namespace="dd5b6b3d-3d39-4526-b8e4-79d21e1438f0"/>
    <xsd:import namespace="44678d20-5b6e-4792-b133-ca784477d68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5b6b3d-3d39-4526-b8e4-79d21e1438f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678d20-5b6e-4792-b133-ca784477d6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e8ad495-3829-482e-ad1b-cf0f2662c940}" ma:internalName="TaxCatchAll" ma:showField="CatchAllData" ma:web="44678d20-5b6e-4792-b133-ca784477d6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5b6b3d-3d39-4526-b8e4-79d21e1438f0">
      <Terms xmlns="http://schemas.microsoft.com/office/infopath/2007/PartnerControls"/>
    </lcf76f155ced4ddcb4097134ff3c332f>
    <TaxCatchAll xmlns="44678d20-5b6e-4792-b133-ca784477d689" xsi:nil="true"/>
    <ReferenceId xmlns="dd5b6b3d-3d39-4526-b8e4-79d21e1438f0" xsi:nil="true"/>
  </documentManagement>
</p:properties>
</file>

<file path=customXml/itemProps1.xml><?xml version="1.0" encoding="utf-8"?>
<ds:datastoreItem xmlns:ds="http://schemas.openxmlformats.org/officeDocument/2006/customXml" ds:itemID="{65118096-88A8-4285-B46B-B5425D182DF5}"/>
</file>

<file path=customXml/itemProps2.xml><?xml version="1.0" encoding="utf-8"?>
<ds:datastoreItem xmlns:ds="http://schemas.openxmlformats.org/officeDocument/2006/customXml" ds:itemID="{21CA47CD-09A8-45F9-B168-43C7DCFF5ED5}"/>
</file>

<file path=customXml/itemProps3.xml><?xml version="1.0" encoding="utf-8"?>
<ds:datastoreItem xmlns:ds="http://schemas.openxmlformats.org/officeDocument/2006/customXml" ds:itemID="{A08020D0-A27E-4171-B1C4-EE61556AA54E}"/>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2026-09-22T06:22:27Z</dcterms:created>
  <dcterms:modified xsi:type="dcterms:W3CDTF">2026-09-22T06:22:44Z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0x010100B17A232B3FA31C48ADAF29702DE3C893</vt:lpwstr>
  </property>
</Properties>
</file>